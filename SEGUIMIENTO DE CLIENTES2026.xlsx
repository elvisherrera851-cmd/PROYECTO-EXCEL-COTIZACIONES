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f34ced09d31df6/Desktop/SEGUIMIENTO DE COTIZACIONES/"/>
    </mc:Choice>
  </mc:AlternateContent>
  <xr:revisionPtr revIDLastSave="0" documentId="14_{CF766B2E-3D70-49A6-8B41-77D8ADDCD885}" xr6:coauthVersionLast="47" xr6:coauthVersionMax="47" xr10:uidLastSave="{00000000-0000-0000-0000-000000000000}"/>
  <bookViews>
    <workbookView xWindow="-108" yWindow="-108" windowWidth="23256" windowHeight="12456" activeTab="1" xr2:uid="{9D11324A-79B7-427D-B664-F9C6F3E3B99A}"/>
  </bookViews>
  <sheets>
    <sheet name="BASE" sheetId="1" r:id="rId1"/>
    <sheet name="BUSQUEDA" sheetId="2" r:id="rId2"/>
  </sheets>
  <definedNames>
    <definedName name="CLIENTES">BASE!$A:$H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1" i="2" l="1"/>
  <c r="F26" i="2" s="1"/>
  <c r="F10" i="2"/>
  <c r="F13" i="2"/>
  <c r="F12" i="2"/>
  <c r="C6" i="2" s="1"/>
  <c r="F9" i="2"/>
  <c r="F8" i="2"/>
  <c r="F7" i="2"/>
  <c r="F6" i="2"/>
  <c r="F5" i="2"/>
  <c r="F21" i="2" l="1"/>
  <c r="F22" i="2"/>
  <c r="F24" i="2"/>
  <c r="F23" i="2"/>
  <c r="F25" i="2"/>
  <c r="F20" i="2"/>
  <c r="F19" i="2"/>
</calcChain>
</file>

<file path=xl/sharedStrings.xml><?xml version="1.0" encoding="utf-8"?>
<sst xmlns="http://schemas.openxmlformats.org/spreadsheetml/2006/main" count="154" uniqueCount="86">
  <si>
    <t xml:space="preserve">ID CLIENTE </t>
  </si>
  <si>
    <t xml:space="preserve">NOMBRE CLIENTE </t>
  </si>
  <si>
    <t>TELEFONO</t>
  </si>
  <si>
    <t>PRODUCTO COTIZADO</t>
  </si>
  <si>
    <t>PRECIO COT.</t>
  </si>
  <si>
    <t>FECHA</t>
  </si>
  <si>
    <t xml:space="preserve">ESTADO </t>
  </si>
  <si>
    <t>NOMBRE</t>
  </si>
  <si>
    <t xml:space="preserve">TELEFONO </t>
  </si>
  <si>
    <t xml:space="preserve">PRODUCTO </t>
  </si>
  <si>
    <t>PRECIO</t>
  </si>
  <si>
    <t xml:space="preserve">FECHA </t>
  </si>
  <si>
    <t>FB0001</t>
  </si>
  <si>
    <t>PEDRO AYALA</t>
  </si>
  <si>
    <t>CIELO FALSO</t>
  </si>
  <si>
    <t xml:space="preserve">ESTADOS DE COTIZACION </t>
  </si>
  <si>
    <t>VENDIDO</t>
  </si>
  <si>
    <t>NEGOCIACION</t>
  </si>
  <si>
    <t>CERRADO PERDIDO</t>
  </si>
  <si>
    <t>FB0002</t>
  </si>
  <si>
    <t>ALDAIR BALLESTEROS</t>
  </si>
  <si>
    <t>WPC PARED BEIGE</t>
  </si>
  <si>
    <t>FB0003</t>
  </si>
  <si>
    <t>FB0004</t>
  </si>
  <si>
    <t>FB0005</t>
  </si>
  <si>
    <t>FB0006</t>
  </si>
  <si>
    <t>INDIRA PORTILLO</t>
  </si>
  <si>
    <t>PISO SPC CAFÉ</t>
  </si>
  <si>
    <t>MAYNOR NUÑEZ</t>
  </si>
  <si>
    <t>WPC PARED CAFÉ</t>
  </si>
  <si>
    <t>ALEX FERRUFINO</t>
  </si>
  <si>
    <t>ALEJANDRA GUEVARA</t>
  </si>
  <si>
    <t>NUMERO</t>
  </si>
  <si>
    <t>FB0007</t>
  </si>
  <si>
    <t>ELVIS HERRERA</t>
  </si>
  <si>
    <t>GIMMY HERRERA</t>
  </si>
  <si>
    <t>PRODUCTOS</t>
  </si>
  <si>
    <t>FB0008</t>
  </si>
  <si>
    <t>JOSE LOBO</t>
  </si>
  <si>
    <t>FB0009</t>
  </si>
  <si>
    <t>JOHAN PEREZ</t>
  </si>
  <si>
    <t>FB0010</t>
  </si>
  <si>
    <t>ID</t>
  </si>
  <si>
    <t>CHELSY CORTES</t>
  </si>
  <si>
    <t>FB0011</t>
  </si>
  <si>
    <t>ID COTIZACION</t>
  </si>
  <si>
    <t>COMENTARIOS</t>
  </si>
  <si>
    <t>FB0001-1</t>
  </si>
  <si>
    <t>FB0002-1</t>
  </si>
  <si>
    <t>FB0005-2</t>
  </si>
  <si>
    <t>FB0011-1</t>
  </si>
  <si>
    <t>FB0001-2</t>
  </si>
  <si>
    <t>FB0010-1</t>
  </si>
  <si>
    <t>NO LE PARECIO EL PRECIO</t>
  </si>
  <si>
    <t>SE CONTACTA AL CLIENTE POR SEGUIMIENTO POST VENTA Y FIDELIZACION</t>
  </si>
  <si>
    <t>SE LLAMO AL CLIENTE NO RESPONDE, SE ENVIA TEXTO POR WHATSAPP</t>
  </si>
  <si>
    <t>LLAMADA AL CLIENTA PARA FIDELIZACION Y SEGUIMEINTO POSTVENTA</t>
  </si>
  <si>
    <t>PROMESA DE COMPRA PARA 30 DE MAYO 2026</t>
  </si>
  <si>
    <t>CLIENTE COMPRO EN OTRO LUGAR</t>
  </si>
  <si>
    <t>LLAMADA PARA FIDELIZACION Y SEGUIMIENTO POSTVENTA</t>
  </si>
  <si>
    <t>PROMESA DE COMPRA PARA SABADO 2 DE MAYO</t>
  </si>
  <si>
    <t>LLAMADAS A CLIENTE A BUZON, MENSAJES NO LE LLEGAN A WHATSAPP</t>
  </si>
  <si>
    <t>TEXTO AL CLIENTE SEGUIMIENTO PV</t>
  </si>
  <si>
    <t>SE ENVIA COTIZACION, EN ESPERA DE RESPUESTA DE CLIENTE PARA SABADO 3</t>
  </si>
  <si>
    <t>SE ENVIA TEXTO PARA FIDELIZACION POST VENTA</t>
  </si>
  <si>
    <t>CLIENTE NO LE PARECE EL PRECIO</t>
  </si>
  <si>
    <t>EN ESPERA DE CONFIRMACION DE COMPRA, DIA 5 DE MAYO 2026</t>
  </si>
  <si>
    <t>TEXTO POSTVENTA Y FIDELIZACION</t>
  </si>
  <si>
    <t>SIN RESPUESTA DE CLIENTE, NO LE PARECIO EL PRECIO</t>
  </si>
  <si>
    <t>FB0005-1</t>
  </si>
  <si>
    <t>FB0010-3</t>
  </si>
  <si>
    <t>FB0010-2</t>
  </si>
  <si>
    <t>FB0006-1</t>
  </si>
  <si>
    <t>FB0010-4</t>
  </si>
  <si>
    <t>FB0003-1</t>
  </si>
  <si>
    <t>FB0007-1</t>
  </si>
  <si>
    <t>FB0008-1</t>
  </si>
  <si>
    <t>FB0007-3</t>
  </si>
  <si>
    <t>FB0007-2</t>
  </si>
  <si>
    <t>FB0004-1</t>
  </si>
  <si>
    <t>FB0009-1</t>
  </si>
  <si>
    <t>ID CLIENTE</t>
  </si>
  <si>
    <t>BRAYAN HERRERA</t>
  </si>
  <si>
    <t>FB0012</t>
  </si>
  <si>
    <t>FB0012-1</t>
  </si>
  <si>
    <t>BUSQUEDA DE COTIZACION DE CLIENTE Y PRIMER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</si>
</sst>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XDR&quot;* #,##0.00_-;\-&quot;XDR&quot;* #,##0.00_-;_-&quot;XDR&quot;* &quot;-&quot;??_-;_-@_-"/>
    <numFmt numFmtId="164" formatCode="_-[$HNL]\ * #,##0.00_-;\-[$HNL]\ * #,##0.00_-;_-[$HNL]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0" fontId="0" fillId="4" borderId="0" xfId="0" applyFill="1"/>
    <xf numFmtId="164" fontId="2" fillId="2" borderId="0" xfId="1" applyNumberFormat="1" applyFont="1" applyFill="1"/>
    <xf numFmtId="164" fontId="0" fillId="0" borderId="0" xfId="1" applyNumberFormat="1" applyFont="1"/>
    <xf numFmtId="14" fontId="0" fillId="0" borderId="0" xfId="0" applyNumberForma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1" xfId="0" applyBorder="1"/>
    <xf numFmtId="0" fontId="3" fillId="4" borderId="0" xfId="0" applyFont="1" applyFill="1"/>
    <xf numFmtId="0" fontId="0" fillId="4" borderId="0" xfId="0" applyFill="1" applyAlignment="1">
      <alignment horizontal="left"/>
    </xf>
    <xf numFmtId="164" fontId="0" fillId="4" borderId="0" xfId="1" applyNumberFormat="1" applyFont="1" applyFill="1" applyBorder="1" applyAlignment="1">
      <alignment horizontal="left"/>
    </xf>
    <xf numFmtId="14" fontId="0" fillId="4" borderId="0" xfId="0" applyNumberFormat="1" applyFill="1" applyAlignment="1">
      <alignment horizontal="left"/>
    </xf>
    <xf numFmtId="0" fontId="3" fillId="3" borderId="0" xfId="0" applyFont="1" applyFill="1"/>
    <xf numFmtId="0" fontId="0" fillId="0" borderId="0" xfId="0" applyNumberFormat="1"/>
    <xf numFmtId="0" fontId="0" fillId="4" borderId="0" xfId="0" applyFill="1" applyAlignment="1"/>
    <xf numFmtId="0" fontId="2" fillId="0" borderId="0" xfId="0" applyFont="1" applyFill="1"/>
    <xf numFmtId="0" fontId="3" fillId="0" borderId="0" xfId="0" applyFont="1"/>
    <xf numFmtId="0" fontId="3" fillId="8" borderId="1" xfId="0" applyFont="1" applyFill="1" applyBorder="1"/>
    <xf numFmtId="0" fontId="3" fillId="0" borderId="0" xfId="0" applyNumberFormat="1" applyFont="1"/>
    <xf numFmtId="0" fontId="0" fillId="4" borderId="0" xfId="0" applyFont="1" applyFill="1" applyAlignment="1">
      <alignment horizontal="left"/>
    </xf>
    <xf numFmtId="164" fontId="1" fillId="4" borderId="0" xfId="1" applyNumberFormat="1" applyFont="1" applyFill="1" applyBorder="1" applyAlignment="1">
      <alignment horizontal="left"/>
    </xf>
    <xf numFmtId="14" fontId="0" fillId="4" borderId="0" xfId="0" applyNumberFormat="1" applyFont="1" applyFill="1" applyAlignment="1">
      <alignment horizontal="left"/>
    </xf>
    <xf numFmtId="0" fontId="5" fillId="10" borderId="0" xfId="0" applyFont="1" applyFill="1" applyAlignment="1">
      <alignment horizontal="center" vertical="center"/>
    </xf>
    <xf numFmtId="14" fontId="2" fillId="2" borderId="0" xfId="0" applyNumberFormat="1" applyFont="1" applyFill="1"/>
    <xf numFmtId="0" fontId="3" fillId="9" borderId="0" xfId="0" applyFont="1" applyFill="1" applyAlignment="1">
      <alignment horizontal="center" vertical="center"/>
    </xf>
    <xf numFmtId="0" fontId="3" fillId="0" borderId="1" xfId="0" applyNumberFormat="1" applyFont="1" applyBorder="1" applyProtection="1">
      <protection locked="0"/>
    </xf>
    <xf numFmtId="0" fontId="0" fillId="4" borderId="0" xfId="0" applyFill="1" applyProtection="1">
      <protection locked="0"/>
    </xf>
  </cellXfs>
  <cellStyles count="2">
    <cellStyle name="Moneda" xfId="1" builtinId="4"/>
    <cellStyle name="Normal" xfId="0" builtinId="0"/>
  </cellStyles>
  <dxfs count="23"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</font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[$HNL]\ * #,##0.00_-;\-[$HNL]\ * #,##0.00_-;_-[$HNL]\ * &quot;-&quot;??_-;_-@_-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 tint="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9409D5-8EF5-4307-9F72-16BAD875069B}" name="Tabla1" displayName="Tabla1" ref="A1:I20" totalsRowShown="0" headerRowDxfId="22">
  <autoFilter ref="A1:I20" xr:uid="{609409D5-8EF5-4307-9F72-16BAD875069B}"/>
  <tableColumns count="9">
    <tableColumn id="1" xr3:uid="{C8EFA74E-E270-4B82-AD91-C70648E0B6BA}" name="ID CLIENTE " dataDxfId="21"/>
    <tableColumn id="9" xr3:uid="{F5618315-88B9-4F80-8863-E078F51ED329}" name="ID COTIZACION" dataDxfId="20"/>
    <tableColumn id="2" xr3:uid="{C20E30AB-5A36-4679-A7A4-BC8F8D1B645E}" name="NOMBRE CLIENTE " dataDxfId="17"/>
    <tableColumn id="3" xr3:uid="{C8501166-C529-4EC5-A2DA-ABF384D5AF28}" name="TELEFONO" dataDxfId="15"/>
    <tableColumn id="4" xr3:uid="{1E291A79-EC55-4B87-A5A8-D94354E4509A}" name="PRODUCTO COTIZADO" dataDxfId="16"/>
    <tableColumn id="5" xr3:uid="{AD74DC9C-F123-4F8E-A033-6F7681CCC9D1}" name="PRECIO COT." dataDxfId="19" dataCellStyle="Moneda"/>
    <tableColumn id="6" xr3:uid="{28A8F7DF-EBEB-4296-AF87-F18621026DB0}" name="FECHA" dataDxfId="18"/>
    <tableColumn id="7" xr3:uid="{4083176F-1841-4861-95D4-E7802BDA639B}" name="ESTADO "/>
    <tableColumn id="11" xr3:uid="{CDE00EFD-2F43-421A-B192-5D362E7EAB3F}" name="COMENTARI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671E5-E4D3-4F1F-A00D-8E0B0E94425D}">
  <dimension ref="A1:P20"/>
  <sheetViews>
    <sheetView workbookViewId="0">
      <selection activeCell="B1" sqref="B1"/>
    </sheetView>
  </sheetViews>
  <sheetFormatPr baseColWidth="10" defaultRowHeight="14.4" x14ac:dyDescent="0.3"/>
  <cols>
    <col min="1" max="1" width="12.21875" customWidth="1"/>
    <col min="2" max="2" width="15.88671875" bestFit="1" customWidth="1"/>
    <col min="3" max="3" width="18.6640625" bestFit="1" customWidth="1"/>
    <col min="4" max="4" width="11.6640625" style="18" customWidth="1"/>
    <col min="5" max="5" width="21.33203125" customWidth="1"/>
    <col min="6" max="6" width="14.88671875" style="4" customWidth="1"/>
    <col min="7" max="7" width="10.33203125" style="5" bestFit="1" customWidth="1"/>
    <col min="8" max="8" width="17" bestFit="1" customWidth="1"/>
    <col min="9" max="9" width="65.21875" bestFit="1" customWidth="1"/>
    <col min="10" max="11" width="17" customWidth="1"/>
    <col min="12" max="12" width="22.21875" hidden="1" customWidth="1"/>
    <col min="13" max="13" width="16.21875" hidden="1" customWidth="1"/>
  </cols>
  <sheetData>
    <row r="1" spans="1:13" x14ac:dyDescent="0.3">
      <c r="A1" s="1" t="s">
        <v>0</v>
      </c>
      <c r="B1" s="1" t="s">
        <v>45</v>
      </c>
      <c r="C1" s="1" t="s">
        <v>1</v>
      </c>
      <c r="D1" s="1" t="s">
        <v>2</v>
      </c>
      <c r="E1" s="1" t="s">
        <v>3</v>
      </c>
      <c r="F1" s="3" t="s">
        <v>4</v>
      </c>
      <c r="G1" s="25" t="s">
        <v>5</v>
      </c>
      <c r="H1" s="1" t="s">
        <v>6</v>
      </c>
      <c r="I1" s="1" t="s">
        <v>46</v>
      </c>
      <c r="J1" s="17"/>
      <c r="K1" s="17"/>
    </row>
    <row r="2" spans="1:13" x14ac:dyDescent="0.3">
      <c r="A2" t="s">
        <v>12</v>
      </c>
      <c r="B2" t="s">
        <v>47</v>
      </c>
      <c r="C2" t="s">
        <v>13</v>
      </c>
      <c r="D2" s="18">
        <v>99950000</v>
      </c>
      <c r="E2" t="s">
        <v>21</v>
      </c>
      <c r="F2" s="4">
        <v>10000</v>
      </c>
      <c r="G2" s="5">
        <v>46142</v>
      </c>
      <c r="H2" t="s">
        <v>18</v>
      </c>
      <c r="I2" t="s">
        <v>53</v>
      </c>
    </row>
    <row r="3" spans="1:13" x14ac:dyDescent="0.3">
      <c r="A3" t="s">
        <v>19</v>
      </c>
      <c r="B3" t="s">
        <v>48</v>
      </c>
      <c r="C3" t="s">
        <v>20</v>
      </c>
      <c r="D3" s="18">
        <v>87810000</v>
      </c>
      <c r="E3" t="s">
        <v>14</v>
      </c>
      <c r="F3" s="4">
        <v>15000</v>
      </c>
      <c r="G3" s="5">
        <v>46105</v>
      </c>
      <c r="H3" t="s">
        <v>16</v>
      </c>
      <c r="I3" t="s">
        <v>54</v>
      </c>
      <c r="L3" s="1" t="s">
        <v>15</v>
      </c>
      <c r="M3" s="1" t="s">
        <v>36</v>
      </c>
    </row>
    <row r="4" spans="1:13" x14ac:dyDescent="0.3">
      <c r="A4" t="s">
        <v>22</v>
      </c>
      <c r="B4" t="s">
        <v>74</v>
      </c>
      <c r="C4" t="s">
        <v>26</v>
      </c>
      <c r="D4" s="18">
        <v>99910000</v>
      </c>
      <c r="E4" t="s">
        <v>21</v>
      </c>
      <c r="F4" s="4">
        <v>8000</v>
      </c>
      <c r="G4" s="5">
        <v>46070</v>
      </c>
      <c r="H4" t="s">
        <v>17</v>
      </c>
      <c r="I4" t="s">
        <v>55</v>
      </c>
      <c r="L4" s="6" t="s">
        <v>16</v>
      </c>
      <c r="M4" s="9" t="s">
        <v>14</v>
      </c>
    </row>
    <row r="5" spans="1:13" x14ac:dyDescent="0.3">
      <c r="A5" t="s">
        <v>23</v>
      </c>
      <c r="B5" t="s">
        <v>79</v>
      </c>
      <c r="C5" t="s">
        <v>28</v>
      </c>
      <c r="D5" s="18">
        <v>88900000</v>
      </c>
      <c r="E5" t="s">
        <v>21</v>
      </c>
      <c r="F5" s="4">
        <v>36000</v>
      </c>
      <c r="G5" s="5">
        <v>46065</v>
      </c>
      <c r="H5" t="s">
        <v>16</v>
      </c>
      <c r="I5" t="s">
        <v>56</v>
      </c>
      <c r="L5" s="7" t="s">
        <v>17</v>
      </c>
      <c r="M5" s="9" t="s">
        <v>21</v>
      </c>
    </row>
    <row r="6" spans="1:13" x14ac:dyDescent="0.3">
      <c r="A6" t="s">
        <v>24</v>
      </c>
      <c r="B6" t="s">
        <v>69</v>
      </c>
      <c r="C6" t="s">
        <v>30</v>
      </c>
      <c r="D6" s="18">
        <v>95390000</v>
      </c>
      <c r="E6" t="s">
        <v>29</v>
      </c>
      <c r="F6" s="4">
        <v>25466</v>
      </c>
      <c r="G6" s="5">
        <v>46065</v>
      </c>
      <c r="H6" t="s">
        <v>17</v>
      </c>
      <c r="I6" t="s">
        <v>57</v>
      </c>
      <c r="L6" s="8" t="s">
        <v>18</v>
      </c>
      <c r="M6" s="9" t="s">
        <v>27</v>
      </c>
    </row>
    <row r="7" spans="1:13" x14ac:dyDescent="0.3">
      <c r="A7" t="s">
        <v>25</v>
      </c>
      <c r="B7" t="s">
        <v>72</v>
      </c>
      <c r="C7" t="s">
        <v>31</v>
      </c>
      <c r="D7" s="18">
        <v>31990000</v>
      </c>
      <c r="E7" t="s">
        <v>21</v>
      </c>
      <c r="F7" s="4">
        <v>55922</v>
      </c>
      <c r="G7" s="5">
        <v>46138</v>
      </c>
      <c r="H7" t="s">
        <v>18</v>
      </c>
      <c r="I7" t="s">
        <v>58</v>
      </c>
      <c r="M7" s="9" t="s">
        <v>29</v>
      </c>
    </row>
    <row r="8" spans="1:13" x14ac:dyDescent="0.3">
      <c r="A8" t="s">
        <v>33</v>
      </c>
      <c r="B8" t="s">
        <v>75</v>
      </c>
      <c r="C8" t="s">
        <v>34</v>
      </c>
      <c r="D8" s="18">
        <v>96350000</v>
      </c>
      <c r="E8" t="s">
        <v>14</v>
      </c>
      <c r="F8" s="4">
        <v>45000</v>
      </c>
      <c r="G8" s="5">
        <v>45337</v>
      </c>
      <c r="H8" t="s">
        <v>16</v>
      </c>
      <c r="I8" t="s">
        <v>59</v>
      </c>
    </row>
    <row r="9" spans="1:13" x14ac:dyDescent="0.3">
      <c r="A9" t="s">
        <v>37</v>
      </c>
      <c r="B9" t="s">
        <v>76</v>
      </c>
      <c r="C9" t="s">
        <v>35</v>
      </c>
      <c r="D9" s="18">
        <v>99610000</v>
      </c>
      <c r="E9" t="s">
        <v>14</v>
      </c>
      <c r="F9" s="4">
        <v>55000</v>
      </c>
      <c r="G9" s="5">
        <v>46098</v>
      </c>
      <c r="H9" t="s">
        <v>17</v>
      </c>
      <c r="I9" t="s">
        <v>60</v>
      </c>
    </row>
    <row r="10" spans="1:13" x14ac:dyDescent="0.3">
      <c r="A10" t="s">
        <v>39</v>
      </c>
      <c r="B10" t="s">
        <v>80</v>
      </c>
      <c r="C10" t="s">
        <v>38</v>
      </c>
      <c r="D10" s="18">
        <v>99650000</v>
      </c>
      <c r="E10" t="s">
        <v>29</v>
      </c>
      <c r="F10" s="4">
        <v>65000</v>
      </c>
      <c r="G10" s="5">
        <v>46037</v>
      </c>
      <c r="H10" t="s">
        <v>18</v>
      </c>
      <c r="I10" t="s">
        <v>61</v>
      </c>
    </row>
    <row r="11" spans="1:13" x14ac:dyDescent="0.3">
      <c r="A11" t="s">
        <v>44</v>
      </c>
      <c r="B11" t="s">
        <v>50</v>
      </c>
      <c r="C11" t="s">
        <v>40</v>
      </c>
      <c r="D11" s="18">
        <v>33450000</v>
      </c>
      <c r="E11" t="s">
        <v>27</v>
      </c>
      <c r="F11" s="4">
        <v>15000</v>
      </c>
      <c r="G11" s="5">
        <v>46031</v>
      </c>
      <c r="H11" t="s">
        <v>16</v>
      </c>
      <c r="I11" t="s">
        <v>62</v>
      </c>
    </row>
    <row r="12" spans="1:13" x14ac:dyDescent="0.3">
      <c r="A12" t="s">
        <v>12</v>
      </c>
      <c r="B12" t="s">
        <v>51</v>
      </c>
      <c r="C12" s="15" t="s">
        <v>13</v>
      </c>
      <c r="D12" s="18">
        <v>99950000</v>
      </c>
      <c r="E12" s="15" t="s">
        <v>21</v>
      </c>
      <c r="F12" s="4">
        <v>25000</v>
      </c>
      <c r="G12" s="5">
        <v>46142</v>
      </c>
      <c r="H12" t="s">
        <v>16</v>
      </c>
      <c r="I12" t="s">
        <v>62</v>
      </c>
    </row>
    <row r="13" spans="1:13" x14ac:dyDescent="0.3">
      <c r="A13" s="15" t="s">
        <v>24</v>
      </c>
      <c r="B13" s="15" t="s">
        <v>49</v>
      </c>
      <c r="C13" s="15" t="s">
        <v>30</v>
      </c>
      <c r="D13" s="19">
        <v>95390000</v>
      </c>
      <c r="E13" s="15" t="s">
        <v>27</v>
      </c>
      <c r="F13" s="4">
        <v>30000</v>
      </c>
      <c r="G13" s="5">
        <v>46142</v>
      </c>
      <c r="H13" t="s">
        <v>17</v>
      </c>
      <c r="I13" t="s">
        <v>63</v>
      </c>
    </row>
    <row r="14" spans="1:13" x14ac:dyDescent="0.3">
      <c r="A14" t="s">
        <v>33</v>
      </c>
      <c r="B14" t="s">
        <v>78</v>
      </c>
      <c r="C14" s="15" t="s">
        <v>34</v>
      </c>
      <c r="D14" s="18">
        <v>96350000</v>
      </c>
      <c r="E14" s="15" t="s">
        <v>21</v>
      </c>
      <c r="F14" s="4">
        <v>50000</v>
      </c>
      <c r="G14" s="5">
        <v>46022</v>
      </c>
      <c r="H14" t="s">
        <v>16</v>
      </c>
      <c r="I14" t="s">
        <v>64</v>
      </c>
    </row>
    <row r="15" spans="1:13" x14ac:dyDescent="0.3">
      <c r="A15" s="15" t="s">
        <v>33</v>
      </c>
      <c r="B15" t="s">
        <v>77</v>
      </c>
      <c r="C15" s="15" t="s">
        <v>34</v>
      </c>
      <c r="D15" s="20">
        <v>96350000</v>
      </c>
      <c r="E15" s="15" t="s">
        <v>14</v>
      </c>
      <c r="F15" s="4">
        <v>9000</v>
      </c>
      <c r="G15" s="5">
        <v>46037</v>
      </c>
      <c r="H15" t="s">
        <v>18</v>
      </c>
      <c r="I15" t="s">
        <v>65</v>
      </c>
    </row>
    <row r="16" spans="1:13" x14ac:dyDescent="0.3">
      <c r="A16" s="15" t="s">
        <v>41</v>
      </c>
      <c r="B16" s="15" t="s">
        <v>52</v>
      </c>
      <c r="C16" s="15" t="s">
        <v>43</v>
      </c>
      <c r="D16" s="20">
        <v>98280000</v>
      </c>
      <c r="E16" s="15" t="s">
        <v>14</v>
      </c>
      <c r="F16" s="4">
        <v>10000</v>
      </c>
      <c r="G16" s="5">
        <v>46111</v>
      </c>
      <c r="H16" t="s">
        <v>17</v>
      </c>
      <c r="I16" t="s">
        <v>66</v>
      </c>
    </row>
    <row r="17" spans="1:9" x14ac:dyDescent="0.3">
      <c r="A17" s="15" t="s">
        <v>41</v>
      </c>
      <c r="B17" s="15" t="s">
        <v>71</v>
      </c>
      <c r="C17" s="15" t="s">
        <v>43</v>
      </c>
      <c r="D17" s="20">
        <v>98280000</v>
      </c>
      <c r="E17" s="15" t="s">
        <v>21</v>
      </c>
      <c r="F17" s="4">
        <v>9000</v>
      </c>
      <c r="G17" s="5">
        <v>46037</v>
      </c>
      <c r="H17" t="s">
        <v>16</v>
      </c>
      <c r="I17" t="s">
        <v>67</v>
      </c>
    </row>
    <row r="18" spans="1:9" x14ac:dyDescent="0.3">
      <c r="A18" s="15" t="s">
        <v>41</v>
      </c>
      <c r="B18" s="15" t="s">
        <v>70</v>
      </c>
      <c r="C18" s="15" t="s">
        <v>43</v>
      </c>
      <c r="D18" s="20">
        <v>98280000</v>
      </c>
      <c r="E18" s="15" t="s">
        <v>27</v>
      </c>
      <c r="F18" s="4">
        <v>8000</v>
      </c>
      <c r="G18" s="5">
        <v>46142</v>
      </c>
      <c r="H18" t="s">
        <v>16</v>
      </c>
      <c r="I18" t="s">
        <v>67</v>
      </c>
    </row>
    <row r="19" spans="1:9" x14ac:dyDescent="0.3">
      <c r="A19" s="15" t="s">
        <v>41</v>
      </c>
      <c r="B19" s="15" t="s">
        <v>73</v>
      </c>
      <c r="C19" s="15" t="s">
        <v>43</v>
      </c>
      <c r="D19" s="20">
        <v>98280000</v>
      </c>
      <c r="E19" s="15" t="s">
        <v>29</v>
      </c>
      <c r="F19" s="4">
        <v>7000</v>
      </c>
      <c r="G19" s="5">
        <v>46022</v>
      </c>
      <c r="H19" t="s">
        <v>18</v>
      </c>
      <c r="I19" t="s">
        <v>68</v>
      </c>
    </row>
    <row r="20" spans="1:9" x14ac:dyDescent="0.3">
      <c r="A20" s="15" t="s">
        <v>83</v>
      </c>
      <c r="B20" s="15" t="s">
        <v>84</v>
      </c>
      <c r="C20" s="15" t="s">
        <v>82</v>
      </c>
      <c r="D20" s="20">
        <v>95820000</v>
      </c>
      <c r="E20" s="15" t="s">
        <v>21</v>
      </c>
      <c r="F20" s="4">
        <v>9500</v>
      </c>
      <c r="G20" s="5">
        <v>45961</v>
      </c>
      <c r="H20" t="s">
        <v>16</v>
      </c>
      <c r="I20" t="s">
        <v>67</v>
      </c>
    </row>
  </sheetData>
  <phoneticPr fontId="4" type="noConversion"/>
  <conditionalFormatting sqref="H2:K1048576 H1">
    <cfRule type="containsText" dxfId="14" priority="7" operator="containsText" text="VENDIDO">
      <formula>NOT(ISERROR(SEARCH("VENDIDO",H1)))</formula>
    </cfRule>
    <cfRule type="containsText" dxfId="13" priority="8" operator="containsText" text="NEGOCIACION">
      <formula>NOT(ISERROR(SEARCH("NEGOCIACION",H1)))</formula>
    </cfRule>
    <cfRule type="containsText" dxfId="12" priority="9" operator="containsText" text="CERRADO PERDIDO">
      <formula>NOT(ISERROR(SEARCH("CERRADO PERDIDO",H1)))</formula>
    </cfRule>
  </conditionalFormatting>
  <dataValidations count="2">
    <dataValidation type="list" allowBlank="1" showInputMessage="1" showErrorMessage="1" sqref="H2:H20" xr:uid="{276061A2-AA56-4D1F-9BF9-4C94072E23F8}">
      <formula1>$L$4:$L$6</formula1>
    </dataValidation>
    <dataValidation type="list" allowBlank="1" showInputMessage="1" showErrorMessage="1" sqref="E2:E1048576" xr:uid="{9A9384DC-65C0-42E4-A530-114D673D532A}">
      <formula1>$M$4:$M$7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4D29B-8FF4-467C-8E17-5D40F3906999}">
  <dimension ref="A1:N41"/>
  <sheetViews>
    <sheetView tabSelected="1" zoomScale="90" zoomScaleNormal="90" workbookViewId="0">
      <selection activeCell="C19" sqref="C19"/>
    </sheetView>
  </sheetViews>
  <sheetFormatPr baseColWidth="10" defaultColWidth="0" defaultRowHeight="14.4" zeroHeight="1" x14ac:dyDescent="0.3"/>
  <cols>
    <col min="1" max="1" width="11.5546875" style="2" customWidth="1"/>
    <col min="2" max="2" width="14.5546875" style="2" bestFit="1" customWidth="1"/>
    <col min="3" max="4" width="11.5546875" style="2" customWidth="1"/>
    <col min="5" max="5" width="14.21875" style="2" bestFit="1" customWidth="1"/>
    <col min="6" max="6" width="18.6640625" style="2" bestFit="1" customWidth="1"/>
    <col min="7" max="13" width="11.5546875" style="2" customWidth="1"/>
    <col min="14" max="14" width="0" hidden="1" customWidth="1"/>
    <col min="15" max="16384" width="11.5546875" hidden="1"/>
  </cols>
  <sheetData>
    <row r="1" spans="2:13" ht="14.4" customHeight="1" x14ac:dyDescent="0.3">
      <c r="B1" s="24" t="s">
        <v>85</v>
      </c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2:13" ht="14.4" customHeight="1" x14ac:dyDescent="0.3"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2:13" ht="14.4" customHeight="1" x14ac:dyDescent="0.3"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2:13" x14ac:dyDescent="0.3"/>
    <row r="5" spans="2:13" x14ac:dyDescent="0.3">
      <c r="B5" s="10" t="s">
        <v>32</v>
      </c>
      <c r="C5" s="27">
        <v>98280000</v>
      </c>
      <c r="E5" s="14" t="s">
        <v>7</v>
      </c>
      <c r="F5" s="21" t="str">
        <f>_xlfn.XLOOKUP(C5,BASE!D:D,BASE!C:C,"NO_EXISTE")</f>
        <v>CHELSY CORTES</v>
      </c>
      <c r="M5" s="10"/>
    </row>
    <row r="6" spans="2:13" x14ac:dyDescent="0.3">
      <c r="B6" s="10" t="s">
        <v>81</v>
      </c>
      <c r="C6" s="2" t="str">
        <f>F12</f>
        <v>FB0010</v>
      </c>
      <c r="E6" s="14" t="s">
        <v>8</v>
      </c>
      <c r="F6" s="21">
        <f>_xlfn.XLOOKUP(C5,BASE!D:D,BASE!D:D,"NO_EXISTE")</f>
        <v>98280000</v>
      </c>
    </row>
    <row r="7" spans="2:13" x14ac:dyDescent="0.3">
      <c r="E7" s="14" t="s">
        <v>9</v>
      </c>
      <c r="F7" s="21" t="str">
        <f>_xlfn.XLOOKUP(C5,BASE!D:D,BASE!E:E,"NO_EXISTE")</f>
        <v>CIELO FALSO</v>
      </c>
    </row>
    <row r="8" spans="2:13" x14ac:dyDescent="0.3">
      <c r="E8" s="14" t="s">
        <v>10</v>
      </c>
      <c r="F8" s="22">
        <f>_xlfn.XLOOKUP(C5,BASE!D:D,BASE!F:F,"NO_EXISTE")</f>
        <v>10000</v>
      </c>
    </row>
    <row r="9" spans="2:13" x14ac:dyDescent="0.3">
      <c r="E9" s="14" t="s">
        <v>11</v>
      </c>
      <c r="F9" s="23">
        <f>_xlfn.XLOOKUP(C5,BASE!D:D,BASE!G:G,"NO_EXISTE")</f>
        <v>46111</v>
      </c>
    </row>
    <row r="10" spans="2:13" x14ac:dyDescent="0.3">
      <c r="E10" s="14" t="s">
        <v>6</v>
      </c>
      <c r="F10" s="21" t="str">
        <f>_xlfn.XLOOKUP(C5,BASE!D:D,BASE!H:H,"NO_EXISTE")</f>
        <v>NEGOCIACION</v>
      </c>
    </row>
    <row r="11" spans="2:13" x14ac:dyDescent="0.3">
      <c r="E11" s="14" t="s">
        <v>45</v>
      </c>
      <c r="F11" s="21" t="str">
        <f>_xlfn.XLOOKUP(C5,BASE!D:D,BASE!B:B,"NO_EXISTE")</f>
        <v>FB0010-1</v>
      </c>
    </row>
    <row r="12" spans="2:13" x14ac:dyDescent="0.3">
      <c r="E12" s="14" t="s">
        <v>42</v>
      </c>
      <c r="F12" s="10" t="str">
        <f>_xlfn.XLOOKUP(C5,BASE!D:D,BASE!A:A,"NO_EXISTE")</f>
        <v>FB0010</v>
      </c>
      <c r="M12" s="10"/>
    </row>
    <row r="13" spans="2:13" x14ac:dyDescent="0.3">
      <c r="E13" s="14" t="s">
        <v>46</v>
      </c>
      <c r="F13" s="26" t="str">
        <f>_xlfn.XLOOKUP(C5,BASE!D:D,BASE!I:I,"NO_EXISTE")</f>
        <v>EN ESPERA DE CONFIRMACION DE COMPRA, DIA 5 DE MAYO 2026</v>
      </c>
      <c r="G13" s="26"/>
      <c r="H13" s="26"/>
      <c r="I13" s="26"/>
      <c r="J13" s="26"/>
      <c r="K13" s="26"/>
      <c r="L13" s="26"/>
      <c r="M13" s="16"/>
    </row>
    <row r="14" spans="2:13" x14ac:dyDescent="0.3">
      <c r="E14" s="14"/>
      <c r="F14" s="26"/>
      <c r="G14" s="26"/>
      <c r="H14" s="26"/>
      <c r="I14" s="26"/>
      <c r="J14" s="26"/>
      <c r="K14" s="26"/>
      <c r="L14" s="26"/>
      <c r="M14" s="16"/>
    </row>
    <row r="15" spans="2:13" x14ac:dyDescent="0.3">
      <c r="E15" s="14"/>
      <c r="F15" s="26"/>
      <c r="G15" s="26"/>
      <c r="H15" s="26"/>
      <c r="I15" s="26"/>
      <c r="J15" s="26"/>
      <c r="K15" s="26"/>
      <c r="L15" s="26"/>
      <c r="M15" s="16"/>
    </row>
    <row r="16" spans="2:13" x14ac:dyDescent="0.3">
      <c r="M16" s="10"/>
    </row>
    <row r="17" spans="2:13" x14ac:dyDescent="0.3">
      <c r="M17" s="10"/>
    </row>
    <row r="18" spans="2:13" x14ac:dyDescent="0.3">
      <c r="M18" s="10"/>
    </row>
    <row r="19" spans="2:13" x14ac:dyDescent="0.3">
      <c r="B19" s="10" t="s">
        <v>45</v>
      </c>
      <c r="C19" s="28" t="s">
        <v>78</v>
      </c>
      <c r="E19" s="14" t="s">
        <v>7</v>
      </c>
      <c r="F19" s="11" t="str">
        <f>_xlfn.XLOOKUP(C19,BASE!B:B,BASE!C:C,"NO_EXISTE")</f>
        <v>ELVIS HERRERA</v>
      </c>
      <c r="M19" s="10"/>
    </row>
    <row r="20" spans="2:13" x14ac:dyDescent="0.3">
      <c r="E20" s="14" t="s">
        <v>8</v>
      </c>
      <c r="F20" s="11">
        <f>_xlfn.XLOOKUP(C19,BASE!B:B,BASE!D:D,"NO_EXISTE")</f>
        <v>96350000</v>
      </c>
      <c r="M20" s="10"/>
    </row>
    <row r="21" spans="2:13" x14ac:dyDescent="0.3">
      <c r="E21" s="14" t="s">
        <v>9</v>
      </c>
      <c r="F21" s="11" t="str">
        <f>_xlfn.XLOOKUP(C19,BASE!B:B,BASE!E:E,"NO_EXISTE")</f>
        <v>WPC PARED BEIGE</v>
      </c>
      <c r="M21" s="10"/>
    </row>
    <row r="22" spans="2:13" x14ac:dyDescent="0.3">
      <c r="E22" s="14" t="s">
        <v>10</v>
      </c>
      <c r="F22" s="12">
        <f>_xlfn.XLOOKUP(C19,BASE!B:B,BASE!F:F,"NO_EXISTE")</f>
        <v>50000</v>
      </c>
      <c r="M22" s="10"/>
    </row>
    <row r="23" spans="2:13" x14ac:dyDescent="0.3">
      <c r="E23" s="14" t="s">
        <v>11</v>
      </c>
      <c r="F23" s="13">
        <f>_xlfn.XLOOKUP(C19,BASE!B:B,BASE!G:G,"NO_EXISTE")</f>
        <v>46022</v>
      </c>
    </row>
    <row r="24" spans="2:13" x14ac:dyDescent="0.3">
      <c r="E24" s="14" t="s">
        <v>6</v>
      </c>
      <c r="F24" s="11" t="str">
        <f>_xlfn.XLOOKUP(C19,BASE!B:B,BASE!H:H,"NO_EXISTE")</f>
        <v>VENDIDO</v>
      </c>
    </row>
    <row r="25" spans="2:13" x14ac:dyDescent="0.3">
      <c r="E25" s="14" t="s">
        <v>42</v>
      </c>
      <c r="F25" s="2" t="str">
        <f>_xlfn.XLOOKUP(C19,BASE!B:B,BASE!A:A,"NO_EXISTE")</f>
        <v>FB0007</v>
      </c>
    </row>
    <row r="26" spans="2:13" x14ac:dyDescent="0.3">
      <c r="E26" s="14" t="s">
        <v>46</v>
      </c>
      <c r="F26" s="26" t="str">
        <f>_xlfn.XLOOKUP(C19,BASE!B:B,BASE!I:I,"NO_EXISTE")</f>
        <v>SE ENVIA TEXTO PARA FIDELIZACION POST VENTA</v>
      </c>
      <c r="G26" s="26"/>
      <c r="H26" s="26"/>
      <c r="I26" s="26"/>
      <c r="J26" s="26"/>
      <c r="K26" s="26"/>
      <c r="L26" s="26"/>
    </row>
    <row r="27" spans="2:13" x14ac:dyDescent="0.3">
      <c r="E27" s="14"/>
      <c r="F27" s="26"/>
      <c r="G27" s="26"/>
      <c r="H27" s="26"/>
      <c r="I27" s="26"/>
      <c r="J27" s="26"/>
      <c r="K27" s="26"/>
      <c r="L27" s="26"/>
    </row>
    <row r="28" spans="2:13" x14ac:dyDescent="0.3">
      <c r="E28" s="14"/>
      <c r="F28" s="26"/>
      <c r="G28" s="26"/>
      <c r="H28" s="26"/>
      <c r="I28" s="26"/>
      <c r="J28" s="26"/>
      <c r="K28" s="26"/>
      <c r="L28" s="26"/>
    </row>
    <row r="29" spans="2:13" x14ac:dyDescent="0.3"/>
    <row r="30" spans="2:13" x14ac:dyDescent="0.3"/>
    <row r="31" spans="2:13" x14ac:dyDescent="0.3"/>
    <row r="32" spans="2:13" x14ac:dyDescent="0.3"/>
    <row r="33" x14ac:dyDescent="0.3"/>
    <row r="34" x14ac:dyDescent="0.3"/>
    <row r="35" x14ac:dyDescent="0.3"/>
    <row r="36" x14ac:dyDescent="0.3"/>
    <row r="37" x14ac:dyDescent="0.3"/>
    <row r="38" x14ac:dyDescent="0.3"/>
    <row r="39" x14ac:dyDescent="0.3"/>
    <row r="40" x14ac:dyDescent="0.3"/>
    <row r="41" x14ac:dyDescent="0.3"/>
  </sheetData>
  <sheetProtection sheet="1" objects="1" scenarios="1" selectLockedCells="1"/>
  <mergeCells count="3">
    <mergeCell ref="F26:L28"/>
    <mergeCell ref="F13:L15"/>
    <mergeCell ref="B1:L3"/>
  </mergeCells>
  <conditionalFormatting sqref="F10:F11">
    <cfRule type="containsText" dxfId="5" priority="4" operator="containsText" text="CERRADO PERDIDO">
      <formula>NOT(ISERROR(SEARCH("CERRADO PERDIDO",F10)))</formula>
    </cfRule>
    <cfRule type="containsText" dxfId="4" priority="5" operator="containsText" text="NEGOCIACION">
      <formula>NOT(ISERROR(SEARCH("NEGOCIACION",F10)))</formula>
    </cfRule>
    <cfRule type="containsText" dxfId="3" priority="6" operator="containsText" text="VENDIDO">
      <formula>NOT(ISERROR(SEARCH("VENDIDO",F10)))</formula>
    </cfRule>
  </conditionalFormatting>
  <conditionalFormatting sqref="F24">
    <cfRule type="containsText" dxfId="2" priority="1" operator="containsText" text="CERRADO PERDIDO">
      <formula>NOT(ISERROR(SEARCH("CERRADO PERDIDO",F24)))</formula>
    </cfRule>
    <cfRule type="containsText" dxfId="1" priority="2" operator="containsText" text="NEGOCIACION">
      <formula>NOT(ISERROR(SEARCH("NEGOCIACION",F24)))</formula>
    </cfRule>
    <cfRule type="containsText" dxfId="0" priority="3" operator="containsText" text="VENDIDO">
      <formula>NOT(ISERROR(SEARCH("VENDIDO",F24)))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BASE</vt:lpstr>
      <vt:lpstr>BUSQUEDA</vt:lpstr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Herrera</dc:creator>
  <cp:lastModifiedBy>ELVIS Herrera</cp:lastModifiedBy>
  <dcterms:created xsi:type="dcterms:W3CDTF">2026-04-30T17:12:08Z</dcterms:created>
  <dcterms:modified xsi:type="dcterms:W3CDTF">2026-05-01T00:01:25Z</dcterms:modified>
</cp:coreProperties>
</file>